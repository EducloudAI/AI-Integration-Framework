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rl\Downloads\"/>
    </mc:Choice>
  </mc:AlternateContent>
  <xr:revisionPtr revIDLastSave="0" documentId="13_ncr:1_{C2889EDE-5C01-481B-A752-70D4731201B9}" xr6:coauthVersionLast="47" xr6:coauthVersionMax="47" xr10:uidLastSave="{00000000-0000-0000-0000-000000000000}"/>
  <bookViews>
    <workbookView xWindow="-108" yWindow="-108" windowWidth="23256" windowHeight="12456" xr2:uid="{B2953451-CD9A-4F69-ABFC-3C67B9EBC769}"/>
  </bookViews>
  <sheets>
    <sheet name="Tier 1 Essentials" sheetId="1" r:id="rId1"/>
    <sheet name="Tier 2 Advanced Governanc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8" i="2" l="1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H11" i="1"/>
  <c r="H10" i="1"/>
  <c r="H9" i="1"/>
  <c r="H8" i="1"/>
  <c r="H6" i="1"/>
  <c r="H7" i="1"/>
  <c r="H5" i="1"/>
  <c r="H4" i="1"/>
  <c r="H3" i="1"/>
  <c r="H2" i="1"/>
  <c r="H12" i="1" l="1"/>
  <c r="F17" i="2"/>
  <c r="E17" i="1"/>
</calcChain>
</file>

<file path=xl/sharedStrings.xml><?xml version="1.0" encoding="utf-8"?>
<sst xmlns="http://schemas.openxmlformats.org/spreadsheetml/2006/main" count="109" uniqueCount="93">
  <si>
    <t>#</t>
  </si>
  <si>
    <t>Question</t>
  </si>
  <si>
    <t>Description</t>
  </si>
  <si>
    <t>Example Healthcare</t>
  </si>
  <si>
    <t>Example Finance</t>
  </si>
  <si>
    <t>Example Education</t>
  </si>
  <si>
    <t>Your Answer</t>
  </si>
  <si>
    <t>Complete?</t>
  </si>
  <si>
    <t>Task Description</t>
  </si>
  <si>
    <t>Clear statement of what AI should accomplish</t>
  </si>
  <si>
    <t>"Generate patient discharge instructions"</t>
  </si>
  <si>
    <t>"Create regulatory compliance summary"</t>
  </si>
  <si>
    <t>"Draft personalized learning plan"</t>
  </si>
  <si>
    <t>Intended Use</t>
  </si>
  <si>
    <t>Specific scenarios where prompt will be used</t>
  </si>
  <si>
    <t>"Post-consultation patient follow-up"</t>
  </si>
  <si>
    <t>"Quarterly compliance reporting"</t>
  </si>
  <si>
    <t>"Individual student progress tracking"</t>
  </si>
  <si>
    <t>Non-Intended Use</t>
  </si>
  <si>
    <t>Boundaries and limitations</t>
  </si>
  <si>
    <t>"Not for emergency medical advice"</t>
  </si>
  <si>
    <t>"Not for investment recommendations"</t>
  </si>
  <si>
    <t>"Not for formal grading or assessment"</t>
  </si>
  <si>
    <t>Context</t>
  </si>
  <si>
    <t>Background information and environment</t>
  </si>
  <si>
    <t>"Hospital with 500+ patients monthly"</t>
  </si>
  <si>
    <t>"Financial institution under ECB regulation"</t>
  </si>
  <si>
    <t>"Secondary school with diverse learning needs"</t>
  </si>
  <si>
    <t>Input</t>
  </si>
  <si>
    <t>What data/format AI receives</t>
  </si>
  <si>
    <t>"Doctor's notes + patient history"</t>
  </si>
  <si>
    <t>"Transaction logs + regulatory updates"</t>
  </si>
  <si>
    <t>"Student test scores + curriculum"</t>
  </si>
  <si>
    <t>Output</t>
  </si>
  <si>
    <t>Expected format and content</t>
  </si>
  <si>
    <t>"Personalized instructions in plain language"</t>
  </si>
  <si>
    <t>"Compliance report with risk ratings"</t>
  </si>
  <si>
    <t>"Adapted learning activities with goals"</t>
  </si>
  <si>
    <t>Quality Criteria</t>
  </si>
  <si>
    <t>Standards for successful output</t>
  </si>
  <si>
    <t>"Medically accurate, empathetic, actionable"</t>
  </si>
  <si>
    <t>"Legally sound, complete, timely"</t>
  </si>
  <si>
    <t>"Age-appropriate, engaging, measurable"</t>
  </si>
  <si>
    <t>Human Oversight</t>
  </si>
  <si>
    <t>Who reviews and approves</t>
  </si>
  <si>
    <t>"Senior nurse verifies all instructions"</t>
  </si>
  <si>
    <t>"Compliance officer signs off"</t>
  </si>
  <si>
    <t>"Teacher reviews and adapts"</t>
  </si>
  <si>
    <t>Success Criteria</t>
  </si>
  <si>
    <t>Measurable outcomes</t>
  </si>
  <si>
    <t>"Patient readmission reduced by 15%"</t>
  </si>
  <si>
    <t>"Zero regulatory fines this quarter"</t>
  </si>
  <si>
    <t>"Student test scores improve 20%"</t>
  </si>
  <si>
    <t>Constraints</t>
  </si>
  <si>
    <t>Technical, legal, operational limits</t>
  </si>
  <si>
    <t>"HIPAA compliant, max 48hr turnaround"</t>
  </si>
  <si>
    <t>"GDPR compliant, audit trail required"</t>
  </si>
  <si>
    <t>"FERPA compliant, parent approval needed"</t>
  </si>
  <si>
    <t>AI Act Relevance</t>
  </si>
  <si>
    <t>Risk Awareness</t>
  </si>
  <si>
    <t>High Risk</t>
  </si>
  <si>
    <t>Potential negative impacts and mitigation</t>
  </si>
  <si>
    <t>Business Alignment</t>
  </si>
  <si>
    <t>Medium</t>
  </si>
  <si>
    <t>Connection to KPIs and strategic goals</t>
  </si>
  <si>
    <t>Legal Compliance</t>
  </si>
  <si>
    <t>Regulatory requirements (EU AI Act, GDPR)</t>
  </si>
  <si>
    <t>Ethical Considerations</t>
  </si>
  <si>
    <t>Fairness, bias, transparency, accountability</t>
  </si>
  <si>
    <t>Data Governance</t>
  </si>
  <si>
    <t>Source, quality, lineage, and privacy</t>
  </si>
  <si>
    <t>Version Control</t>
  </si>
  <si>
    <t>Low</t>
  </si>
  <si>
    <t>Change tracking and history maintenance</t>
  </si>
  <si>
    <t>Testing Protocol</t>
  </si>
  <si>
    <t>Validation methods and acceptance criteria</t>
  </si>
  <si>
    <t>Performance Metrics</t>
  </si>
  <si>
    <t>Speed, accuracy, cost, reliability</t>
  </si>
  <si>
    <t>Security Requirements</t>
  </si>
  <si>
    <t>Access controls, encryption, authentication</t>
  </si>
  <si>
    <t>Audit Trail</t>
  </si>
  <si>
    <t>Logging, monitoring, and traceability</t>
  </si>
  <si>
    <t>Stakeholder Roles</t>
  </si>
  <si>
    <t>RACI matrix (Responsible, Accountable, Consulted, Informed)</t>
  </si>
  <si>
    <t>Review Cycle</t>
  </si>
  <si>
    <t>Periodic reassessment schedule</t>
  </si>
  <si>
    <t>Escalation Path</t>
  </si>
  <si>
    <t>Issue resolution procedures</t>
  </si>
  <si>
    <t>Training Requirements</t>
  </si>
  <si>
    <t>User competency and certification needs</t>
  </si>
  <si>
    <t>Documentation Standards</t>
  </si>
  <si>
    <t>Format, storage, and maintenance procedures</t>
  </si>
  <si>
    <t>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</si>
</sst>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9"/>
      <color rgb="FF0F1115"/>
      <name val="Segoe UI"/>
      <family val="2"/>
    </font>
    <font>
      <sz val="8"/>
      <color rgb="FF0F1115"/>
      <name val="Consolas"/>
      <family val="3"/>
    </font>
    <font>
      <sz val="16"/>
      <color theme="0"/>
      <name val="Segoe UI"/>
      <family val="2"/>
    </font>
    <font>
      <sz val="8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 vertical="center" wrapText="1" indent="1"/>
    </xf>
    <xf numFmtId="0" fontId="2" fillId="0" borderId="0" xfId="0" applyFont="1" applyAlignment="1">
      <alignment horizontal="left" vertical="center" indent="1"/>
    </xf>
    <xf numFmtId="0" fontId="3" fillId="3" borderId="1" xfId="0" applyFont="1" applyFill="1" applyBorder="1" applyAlignment="1">
      <alignment horizontal="left" vertical="center" wrapText="1" indent="1"/>
    </xf>
    <xf numFmtId="0" fontId="0" fillId="0" borderId="0" xfId="0" applyAlignment="1">
      <alignment wrapText="1"/>
    </xf>
    <xf numFmtId="0" fontId="2" fillId="0" borderId="0" xfId="0" applyFont="1" applyAlignment="1">
      <alignment horizontal="right" vertical="center" indent="1"/>
    </xf>
    <xf numFmtId="0" fontId="4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23D58-C4FB-48C5-8861-BBD22DD316B7}">
  <dimension ref="A1:H17"/>
  <sheetViews>
    <sheetView tabSelected="1" zoomScale="72" workbookViewId="0">
      <selection activeCell="A13" sqref="A13"/>
    </sheetView>
  </sheetViews>
  <sheetFormatPr defaultRowHeight="14.4" x14ac:dyDescent="0.3"/>
  <cols>
    <col min="2" max="2" width="18.21875" customWidth="1"/>
    <col min="3" max="3" width="23.21875" customWidth="1"/>
    <col min="4" max="4" width="20.109375" customWidth="1"/>
    <col min="5" max="5" width="20.44140625" customWidth="1"/>
    <col min="6" max="6" width="22.6640625" customWidth="1"/>
    <col min="7" max="7" width="26.5546875" customWidth="1"/>
    <col min="8" max="8" width="42" customWidth="1"/>
  </cols>
  <sheetData>
    <row r="1" spans="1:8" ht="49.2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26.4" x14ac:dyDescent="0.3">
      <c r="A2" s="1">
        <v>1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/>
      <c r="H2" s="1" t="str">
        <f t="shared" ref="H2:H11" si="0">IF(G2&lt;&gt;"", "✅", "❌")</f>
        <v>❌</v>
      </c>
    </row>
    <row r="3" spans="1:8" ht="26.4" x14ac:dyDescent="0.3">
      <c r="A3" s="1">
        <v>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  <c r="G3" s="1"/>
      <c r="H3" s="1" t="str">
        <f t="shared" si="0"/>
        <v>❌</v>
      </c>
    </row>
    <row r="4" spans="1:8" ht="26.4" x14ac:dyDescent="0.3">
      <c r="A4" s="1">
        <v>3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22</v>
      </c>
      <c r="G4" s="1"/>
      <c r="H4" s="1" t="str">
        <f t="shared" si="0"/>
        <v>❌</v>
      </c>
    </row>
    <row r="5" spans="1:8" ht="26.4" x14ac:dyDescent="0.3">
      <c r="A5" s="1">
        <v>4</v>
      </c>
      <c r="B5" s="1" t="s">
        <v>23</v>
      </c>
      <c r="C5" s="1" t="s">
        <v>24</v>
      </c>
      <c r="D5" s="1" t="s">
        <v>25</v>
      </c>
      <c r="E5" s="1" t="s">
        <v>26</v>
      </c>
      <c r="F5" s="1" t="s">
        <v>27</v>
      </c>
      <c r="G5" s="1"/>
      <c r="H5" s="1" t="str">
        <f t="shared" si="0"/>
        <v>❌</v>
      </c>
    </row>
    <row r="6" spans="1:8" ht="26.4" x14ac:dyDescent="0.3">
      <c r="A6" s="1">
        <v>5</v>
      </c>
      <c r="B6" s="1" t="s">
        <v>28</v>
      </c>
      <c r="C6" s="1" t="s">
        <v>29</v>
      </c>
      <c r="D6" s="1" t="s">
        <v>30</v>
      </c>
      <c r="E6" s="1" t="s">
        <v>31</v>
      </c>
      <c r="F6" s="1" t="s">
        <v>32</v>
      </c>
      <c r="G6" s="1"/>
      <c r="H6" s="1" t="str">
        <f t="shared" si="0"/>
        <v>❌</v>
      </c>
    </row>
    <row r="7" spans="1:8" ht="39.6" x14ac:dyDescent="0.3">
      <c r="A7" s="1">
        <v>6</v>
      </c>
      <c r="B7" s="1" t="s">
        <v>33</v>
      </c>
      <c r="C7" s="1" t="s">
        <v>34</v>
      </c>
      <c r="D7" s="1" t="s">
        <v>35</v>
      </c>
      <c r="E7" s="1" t="s">
        <v>36</v>
      </c>
      <c r="F7" s="1" t="s">
        <v>37</v>
      </c>
      <c r="G7" s="1"/>
      <c r="H7" s="1" t="str">
        <f t="shared" si="0"/>
        <v>❌</v>
      </c>
    </row>
    <row r="8" spans="1:8" ht="26.4" x14ac:dyDescent="0.3">
      <c r="A8" s="1">
        <v>7</v>
      </c>
      <c r="B8" s="1" t="s">
        <v>38</v>
      </c>
      <c r="C8" s="1" t="s">
        <v>39</v>
      </c>
      <c r="D8" s="1" t="s">
        <v>40</v>
      </c>
      <c r="E8" s="1" t="s">
        <v>41</v>
      </c>
      <c r="F8" s="1" t="s">
        <v>42</v>
      </c>
      <c r="G8" s="1"/>
      <c r="H8" s="1" t="str">
        <f t="shared" si="0"/>
        <v>❌</v>
      </c>
    </row>
    <row r="9" spans="1:8" ht="26.4" x14ac:dyDescent="0.3">
      <c r="A9" s="1">
        <v>8</v>
      </c>
      <c r="B9" s="1" t="s">
        <v>43</v>
      </c>
      <c r="C9" s="1" t="s">
        <v>44</v>
      </c>
      <c r="D9" s="1" t="s">
        <v>45</v>
      </c>
      <c r="E9" s="1" t="s">
        <v>46</v>
      </c>
      <c r="F9" s="1" t="s">
        <v>47</v>
      </c>
      <c r="G9" s="1"/>
      <c r="H9" s="1" t="str">
        <f t="shared" si="0"/>
        <v>❌</v>
      </c>
    </row>
    <row r="10" spans="1:8" ht="26.4" x14ac:dyDescent="0.3">
      <c r="A10" s="1">
        <v>9</v>
      </c>
      <c r="B10" s="1" t="s">
        <v>48</v>
      </c>
      <c r="C10" s="1" t="s">
        <v>49</v>
      </c>
      <c r="D10" s="1" t="s">
        <v>50</v>
      </c>
      <c r="E10" s="1" t="s">
        <v>51</v>
      </c>
      <c r="F10" s="1" t="s">
        <v>52</v>
      </c>
      <c r="G10" s="1"/>
      <c r="H10" s="1" t="str">
        <f t="shared" si="0"/>
        <v>❌</v>
      </c>
    </row>
    <row r="11" spans="1:8" ht="26.4" x14ac:dyDescent="0.3">
      <c r="A11" s="1">
        <v>10</v>
      </c>
      <c r="B11" s="1" t="s">
        <v>53</v>
      </c>
      <c r="C11" s="1" t="s">
        <v>54</v>
      </c>
      <c r="D11" s="1" t="s">
        <v>55</v>
      </c>
      <c r="E11" s="1" t="s">
        <v>56</v>
      </c>
      <c r="F11" s="1" t="s">
        <v>57</v>
      </c>
      <c r="G11" s="1"/>
      <c r="H11" s="1" t="str">
        <f t="shared" si="0"/>
        <v>❌</v>
      </c>
    </row>
    <row r="12" spans="1:8" x14ac:dyDescent="0.3">
      <c r="G12" s="2"/>
      <c r="H12" t="str">
        <f>REPT("█", COUNTIF(H2:H11,"✅"))
&amp; REPT("░", 10-COUNTIF(H2:H11,"✅"))
&amp; " "
&amp; ROUND(COUNTIF(H2:H11,"✅")/10*100,0)
&amp; "%"</f>
        <v>░░░░░░░░░░ 0%</v>
      </c>
    </row>
    <row r="17" spans="5:5" x14ac:dyDescent="0.3">
      <c r="E17">
        <f>'Tier 2 Advanced Governance'!E17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CB0E9-F67E-4D5E-BBD7-432214BA01E3}">
  <dimension ref="A1:F28"/>
  <sheetViews>
    <sheetView topLeftCell="B1" workbookViewId="0">
      <selection activeCell="B2" sqref="B2:B3"/>
    </sheetView>
  </sheetViews>
  <sheetFormatPr defaultRowHeight="14.4" x14ac:dyDescent="0.3"/>
  <cols>
    <col min="2" max="2" width="51.88671875" customWidth="1"/>
    <col min="3" max="3" width="31.33203125" customWidth="1"/>
    <col min="4" max="4" width="36.5546875" customWidth="1"/>
    <col min="5" max="5" width="30.21875" customWidth="1"/>
    <col min="6" max="6" width="25.5546875" customWidth="1"/>
  </cols>
  <sheetData>
    <row r="1" spans="1:6" ht="27.6" customHeight="1" x14ac:dyDescent="0.3">
      <c r="A1" s="3" t="s">
        <v>0</v>
      </c>
      <c r="B1" s="3" t="s">
        <v>1</v>
      </c>
      <c r="C1" s="3" t="s">
        <v>58</v>
      </c>
      <c r="D1" s="3" t="s">
        <v>2</v>
      </c>
      <c r="E1" s="3" t="s">
        <v>6</v>
      </c>
      <c r="F1" s="3" t="s">
        <v>92</v>
      </c>
    </row>
    <row r="2" spans="1:6" x14ac:dyDescent="0.3">
      <c r="A2" s="1">
        <v>11</v>
      </c>
      <c r="B2" s="1" t="s">
        <v>59</v>
      </c>
      <c r="C2" s="1" t="s">
        <v>60</v>
      </c>
      <c r="D2" s="1" t="s">
        <v>61</v>
      </c>
      <c r="E2" s="1"/>
      <c r="F2" s="6" t="str">
        <f>IF(E2&lt;&gt;"", "✅", "❌")</f>
        <v>❌</v>
      </c>
    </row>
    <row r="3" spans="1:6" x14ac:dyDescent="0.3">
      <c r="A3" s="1">
        <v>12</v>
      </c>
      <c r="B3" s="1" t="s">
        <v>62</v>
      </c>
      <c r="C3" s="1" t="s">
        <v>63</v>
      </c>
      <c r="D3" s="1" t="s">
        <v>64</v>
      </c>
      <c r="E3" s="1"/>
      <c r="F3" s="7" t="str">
        <f>IF(E2&lt;&gt;"", "✅", "❌")</f>
        <v>❌</v>
      </c>
    </row>
    <row r="4" spans="1:6" x14ac:dyDescent="0.3">
      <c r="A4" s="1">
        <v>13</v>
      </c>
      <c r="B4" s="1" t="s">
        <v>65</v>
      </c>
      <c r="C4" s="1" t="s">
        <v>60</v>
      </c>
      <c r="D4" s="1" t="s">
        <v>66</v>
      </c>
      <c r="E4" s="1"/>
      <c r="F4" s="7" t="str">
        <f t="shared" ref="F4:F16" si="0">IF(E4&lt;&gt;"", "✅", "❌")</f>
        <v>❌</v>
      </c>
    </row>
    <row r="5" spans="1:6" x14ac:dyDescent="0.3">
      <c r="A5" s="1">
        <v>14</v>
      </c>
      <c r="B5" s="1" t="s">
        <v>67</v>
      </c>
      <c r="C5" s="1" t="s">
        <v>60</v>
      </c>
      <c r="D5" s="1" t="s">
        <v>68</v>
      </c>
      <c r="E5" s="1"/>
      <c r="F5" s="7" t="str">
        <f t="shared" si="0"/>
        <v>❌</v>
      </c>
    </row>
    <row r="6" spans="1:6" x14ac:dyDescent="0.3">
      <c r="A6" s="1">
        <v>15</v>
      </c>
      <c r="B6" s="1" t="s">
        <v>69</v>
      </c>
      <c r="C6" s="1" t="s">
        <v>63</v>
      </c>
      <c r="D6" s="1" t="s">
        <v>70</v>
      </c>
      <c r="E6" s="1"/>
      <c r="F6" s="7" t="str">
        <f t="shared" si="0"/>
        <v>❌</v>
      </c>
    </row>
    <row r="7" spans="1:6" x14ac:dyDescent="0.3">
      <c r="A7" s="1">
        <v>16</v>
      </c>
      <c r="B7" s="1" t="s">
        <v>71</v>
      </c>
      <c r="C7" s="1" t="s">
        <v>72</v>
      </c>
      <c r="D7" s="1" t="s">
        <v>73</v>
      </c>
      <c r="E7" s="1"/>
      <c r="F7" s="7" t="str">
        <f t="shared" si="0"/>
        <v>❌</v>
      </c>
    </row>
    <row r="8" spans="1:6" x14ac:dyDescent="0.3">
      <c r="A8" s="1">
        <v>17</v>
      </c>
      <c r="B8" s="1" t="s">
        <v>74</v>
      </c>
      <c r="C8" s="1" t="s">
        <v>63</v>
      </c>
      <c r="D8" s="1" t="s">
        <v>75</v>
      </c>
      <c r="E8" s="1"/>
      <c r="F8" s="7" t="str">
        <f t="shared" si="0"/>
        <v>❌</v>
      </c>
    </row>
    <row r="9" spans="1:6" x14ac:dyDescent="0.3">
      <c r="A9" s="1">
        <v>18</v>
      </c>
      <c r="B9" s="1" t="s">
        <v>76</v>
      </c>
      <c r="C9" s="1" t="s">
        <v>72</v>
      </c>
      <c r="D9" s="1" t="s">
        <v>77</v>
      </c>
      <c r="E9" s="1"/>
      <c r="F9" s="7" t="str">
        <f t="shared" si="0"/>
        <v>❌</v>
      </c>
    </row>
    <row r="10" spans="1:6" x14ac:dyDescent="0.3">
      <c r="A10" s="1">
        <v>19</v>
      </c>
      <c r="B10" s="1" t="s">
        <v>78</v>
      </c>
      <c r="C10" s="1" t="s">
        <v>60</v>
      </c>
      <c r="D10" s="1" t="s">
        <v>79</v>
      </c>
      <c r="E10" s="1"/>
      <c r="F10" s="7" t="str">
        <f t="shared" si="0"/>
        <v>❌</v>
      </c>
    </row>
    <row r="11" spans="1:6" x14ac:dyDescent="0.3">
      <c r="A11" s="1">
        <v>20</v>
      </c>
      <c r="B11" s="1" t="s">
        <v>80</v>
      </c>
      <c r="C11" s="1" t="s">
        <v>60</v>
      </c>
      <c r="D11" s="1" t="s">
        <v>81</v>
      </c>
      <c r="E11" s="1"/>
      <c r="F11" s="7" t="str">
        <f t="shared" si="0"/>
        <v>❌</v>
      </c>
    </row>
    <row r="12" spans="1:6" ht="26.4" x14ac:dyDescent="0.3">
      <c r="A12" s="1">
        <v>21</v>
      </c>
      <c r="B12" s="1" t="s">
        <v>82</v>
      </c>
      <c r="C12" s="1" t="s">
        <v>72</v>
      </c>
      <c r="D12" s="1" t="s">
        <v>83</v>
      </c>
      <c r="E12" s="1"/>
      <c r="F12" s="7" t="str">
        <f t="shared" si="0"/>
        <v>❌</v>
      </c>
    </row>
    <row r="13" spans="1:6" x14ac:dyDescent="0.3">
      <c r="A13" s="1">
        <v>22</v>
      </c>
      <c r="B13" s="1" t="s">
        <v>84</v>
      </c>
      <c r="C13" s="1" t="s">
        <v>63</v>
      </c>
      <c r="D13" s="1" t="s">
        <v>85</v>
      </c>
      <c r="E13" s="1"/>
      <c r="F13" s="7" t="str">
        <f t="shared" si="0"/>
        <v>❌</v>
      </c>
    </row>
    <row r="14" spans="1:6" x14ac:dyDescent="0.3">
      <c r="A14" s="1">
        <v>23</v>
      </c>
      <c r="B14" s="1" t="s">
        <v>86</v>
      </c>
      <c r="C14" s="1" t="s">
        <v>63</v>
      </c>
      <c r="D14" s="1" t="s">
        <v>87</v>
      </c>
      <c r="E14" s="1"/>
      <c r="F14" s="7" t="str">
        <f t="shared" si="0"/>
        <v>❌</v>
      </c>
    </row>
    <row r="15" spans="1:6" x14ac:dyDescent="0.3">
      <c r="A15" s="1">
        <v>24</v>
      </c>
      <c r="B15" s="1" t="s">
        <v>88</v>
      </c>
      <c r="C15" s="1" t="s">
        <v>72</v>
      </c>
      <c r="D15" s="1" t="s">
        <v>89</v>
      </c>
      <c r="E15" s="1"/>
      <c r="F15" s="7" t="str">
        <f t="shared" si="0"/>
        <v>❌</v>
      </c>
    </row>
    <row r="16" spans="1:6" x14ac:dyDescent="0.3">
      <c r="A16" s="1">
        <v>25</v>
      </c>
      <c r="B16" s="1" t="s">
        <v>90</v>
      </c>
      <c r="C16" s="1" t="s">
        <v>72</v>
      </c>
      <c r="D16" s="1" t="s">
        <v>91</v>
      </c>
      <c r="E16" s="1"/>
      <c r="F16" s="7" t="str">
        <f t="shared" si="0"/>
        <v>❌</v>
      </c>
    </row>
    <row r="17" spans="2:6" x14ac:dyDescent="0.3">
      <c r="C17" s="5"/>
      <c r="F17" t="str">
        <f>REPT("█", COUNTIF(F2:F16,"✅"))
&amp; REPT("░", 15-COUNTIF(F2:F16,"✅"))
&amp; " "
&amp; ROUND(COUNTIF(F2:F16,"✅")/15*100,0)
&amp; "%"</f>
        <v>░░░░░░░░░░░░░░░ 0%</v>
      </c>
    </row>
    <row r="18" spans="2:6" x14ac:dyDescent="0.3">
      <c r="F18" t="str">
        <f>"⚠️ " &amp; COUNTIF(B2:B16,"High Risk") &amp; "/8 High Risk (EU AI Act)"</f>
        <v>⚠️ 0/8 High Risk (EU AI Act)</v>
      </c>
    </row>
    <row r="28" spans="2:6" x14ac:dyDescent="0.3">
      <c r="B28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Tier 1 Essentials</vt:lpstr>
      <vt:lpstr>Tier 2 Advanced Governance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Doest</dc:creator>
  <cp:lastModifiedBy>Charles Doest</cp:lastModifiedBy>
  <dcterms:created xsi:type="dcterms:W3CDTF">2026-01-01T21:24:30Z</dcterms:created>
  <dcterms:modified xsi:type="dcterms:W3CDTF">2026-01-02T23:19:16Z</dcterms:modified>
</cp:coreProperties>
</file>